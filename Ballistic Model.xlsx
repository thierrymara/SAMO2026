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" sheetId="1" r:id="rId5"/>
    <sheet state="visible" name="Model" sheetId="2" r:id="rId6"/>
    <sheet state="visible" name="MatrixModel" sheetId="3" r:id="rId7"/>
    <sheet state="visible" name="Coefficients" sheetId="4" r:id="rId8"/>
  </sheets>
  <definedNames/>
  <calcPr/>
</workbook>
</file>

<file path=xl/sharedStrings.xml><?xml version="1.0" encoding="utf-8"?>
<sst xmlns="http://schemas.openxmlformats.org/spreadsheetml/2006/main" count="31" uniqueCount="23">
  <si>
    <t>X1</t>
  </si>
  <si>
    <t>X2</t>
  </si>
  <si>
    <t>X3</t>
  </si>
  <si>
    <t>v_0</t>
  </si>
  <si>
    <t>theta</t>
  </si>
  <si>
    <t>g</t>
  </si>
  <si>
    <t>min</t>
  </si>
  <si>
    <t>max</t>
  </si>
  <si>
    <t>y</t>
  </si>
  <si>
    <t>mean</t>
  </si>
  <si>
    <t>variance</t>
  </si>
  <si>
    <t>a_0</t>
  </si>
  <si>
    <t>a_v</t>
  </si>
  <si>
    <t>a_theta</t>
  </si>
  <si>
    <t>a_g</t>
  </si>
  <si>
    <t>a_v,theta</t>
  </si>
  <si>
    <t>Partial variances</t>
  </si>
  <si>
    <t>Estimated total variance</t>
  </si>
  <si>
    <t>% variance</t>
  </si>
  <si>
    <t>% partial variances</t>
  </si>
  <si>
    <t>T_v</t>
  </si>
  <si>
    <t>T_theta</t>
  </si>
  <si>
    <t>T_g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</si>
</sst>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H1" s="1" t="s">
        <v>5</v>
      </c>
    </row>
    <row r="2">
      <c r="A2" s="1">
        <v>-1.0</v>
      </c>
      <c r="B2" s="1">
        <v>-1.0</v>
      </c>
      <c r="C2" s="1">
        <v>-1.0</v>
      </c>
      <c r="E2" s="1" t="s">
        <v>6</v>
      </c>
      <c r="F2" s="1">
        <v>0.5</v>
      </c>
      <c r="G2" s="1">
        <v>20.0</v>
      </c>
      <c r="H2" s="1">
        <v>9.5</v>
      </c>
    </row>
    <row r="3">
      <c r="A3" s="1">
        <v>-1.0</v>
      </c>
      <c r="B3" s="1">
        <v>-1.0</v>
      </c>
      <c r="C3" s="2">
        <f t="shared" ref="C3:C9" si="1">-C2
</f>
        <v>1</v>
      </c>
      <c r="E3" s="1" t="s">
        <v>7</v>
      </c>
      <c r="F3" s="1">
        <v>1.5</v>
      </c>
      <c r="G3" s="1">
        <v>45.0</v>
      </c>
      <c r="H3" s="1">
        <v>10.0</v>
      </c>
    </row>
    <row r="4">
      <c r="A4" s="1">
        <v>-1.0</v>
      </c>
      <c r="B4" s="2">
        <f t="shared" ref="B4:B9" si="2">-B2
</f>
        <v>1</v>
      </c>
      <c r="C4" s="2">
        <f t="shared" si="1"/>
        <v>-1</v>
      </c>
    </row>
    <row r="5">
      <c r="A5" s="1">
        <v>-1.0</v>
      </c>
      <c r="B5" s="2">
        <f t="shared" si="2"/>
        <v>1</v>
      </c>
      <c r="C5" s="2">
        <f t="shared" si="1"/>
        <v>1</v>
      </c>
    </row>
    <row r="6">
      <c r="A6" s="2">
        <f t="shared" ref="A6:A9" si="3">-A2
</f>
        <v>1</v>
      </c>
      <c r="B6" s="2">
        <f t="shared" si="2"/>
        <v>-1</v>
      </c>
      <c r="C6" s="2">
        <f t="shared" si="1"/>
        <v>-1</v>
      </c>
    </row>
    <row r="7">
      <c r="A7" s="2">
        <f t="shared" si="3"/>
        <v>1</v>
      </c>
      <c r="B7" s="2">
        <f t="shared" si="2"/>
        <v>-1</v>
      </c>
      <c r="C7" s="2">
        <f t="shared" si="1"/>
        <v>1</v>
      </c>
    </row>
    <row r="8">
      <c r="A8" s="2">
        <f t="shared" si="3"/>
        <v>1</v>
      </c>
      <c r="B8" s="2">
        <f t="shared" si="2"/>
        <v>1</v>
      </c>
      <c r="C8" s="2">
        <f t="shared" si="1"/>
        <v>-1</v>
      </c>
    </row>
    <row r="9">
      <c r="A9" s="2">
        <f t="shared" si="3"/>
        <v>1</v>
      </c>
      <c r="B9" s="2">
        <f t="shared" si="2"/>
        <v>1</v>
      </c>
      <c r="C9" s="2">
        <f t="shared" si="1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E1" s="1" t="s">
        <v>8</v>
      </c>
      <c r="G1" s="1" t="s">
        <v>9</v>
      </c>
      <c r="H1" s="1" t="s">
        <v>10</v>
      </c>
    </row>
    <row r="2">
      <c r="A2" s="2">
        <f>if(X!A2&lt;0,X!F$2,X!F$3)</f>
        <v>0.5</v>
      </c>
      <c r="B2" s="2">
        <f>if(X!B2&lt;0,X!G$2,X!G$3)</f>
        <v>20</v>
      </c>
      <c r="C2" s="2">
        <f>if(X!C2&lt;0,X!H$2,X!H$3)</f>
        <v>9.5</v>
      </c>
      <c r="E2" s="2">
        <f t="shared" ref="E2:E9" si="1">A2^2*sin(2*B2*pi()/180)/C2</f>
        <v>0.01691546341</v>
      </c>
      <c r="G2" s="2">
        <f>average(E2:E9)</f>
        <v>0.1053761789</v>
      </c>
      <c r="H2" s="2">
        <f>var(E2:E9)*7/8</f>
        <v>0.0079802193</v>
      </c>
    </row>
    <row r="3">
      <c r="A3" s="2">
        <f>if(X!A3&lt;0,X!F$2,X!F$3)</f>
        <v>0.5</v>
      </c>
      <c r="B3" s="2">
        <f>if(X!B3&lt;0,X!G$2,X!G$3)</f>
        <v>20</v>
      </c>
      <c r="C3" s="2">
        <f>if(X!C3&lt;0,X!H$2,X!H$3)</f>
        <v>10</v>
      </c>
      <c r="E3" s="2">
        <f t="shared" si="1"/>
        <v>0.01606969024</v>
      </c>
    </row>
    <row r="4">
      <c r="A4" s="2">
        <f>if(X!A4&lt;0,X!F$2,X!F$3)</f>
        <v>0.5</v>
      </c>
      <c r="B4" s="2">
        <f>if(X!B4&lt;0,X!G$2,X!G$3)</f>
        <v>45</v>
      </c>
      <c r="C4" s="2">
        <f>if(X!C4&lt;0,X!H$2,X!H$3)</f>
        <v>9.5</v>
      </c>
      <c r="E4" s="2">
        <f t="shared" si="1"/>
        <v>0.02631578947</v>
      </c>
    </row>
    <row r="5">
      <c r="A5" s="2">
        <f>if(X!A5&lt;0,X!F$2,X!F$3)</f>
        <v>0.5</v>
      </c>
      <c r="B5" s="2">
        <f>if(X!B5&lt;0,X!G$2,X!G$3)</f>
        <v>45</v>
      </c>
      <c r="C5" s="2">
        <f>if(X!C5&lt;0,X!H$2,X!H$3)</f>
        <v>10</v>
      </c>
      <c r="E5" s="2">
        <f t="shared" si="1"/>
        <v>0.025</v>
      </c>
    </row>
    <row r="6">
      <c r="A6" s="2">
        <f>if(X!A6&lt;0,X!F$2,X!F$3)</f>
        <v>1.5</v>
      </c>
      <c r="B6" s="2">
        <f>if(X!B6&lt;0,X!G$2,X!G$3)</f>
        <v>20</v>
      </c>
      <c r="C6" s="2">
        <f>if(X!C6&lt;0,X!H$2,X!H$3)</f>
        <v>9.5</v>
      </c>
      <c r="E6" s="2">
        <f t="shared" si="1"/>
        <v>0.1522391707</v>
      </c>
    </row>
    <row r="7">
      <c r="A7" s="2">
        <f>if(X!A7&lt;0,X!F$2,X!F$3)</f>
        <v>1.5</v>
      </c>
      <c r="B7" s="2">
        <f>if(X!B7&lt;0,X!G$2,X!G$3)</f>
        <v>20</v>
      </c>
      <c r="C7" s="2">
        <f>if(X!C7&lt;0,X!H$2,X!H$3)</f>
        <v>10</v>
      </c>
      <c r="E7" s="2">
        <f t="shared" si="1"/>
        <v>0.1446272122</v>
      </c>
    </row>
    <row r="8">
      <c r="A8" s="2">
        <f>if(X!A8&lt;0,X!F$2,X!F$3)</f>
        <v>1.5</v>
      </c>
      <c r="B8" s="2">
        <f>if(X!B8&lt;0,X!G$2,X!G$3)</f>
        <v>45</v>
      </c>
      <c r="C8" s="2">
        <f>if(X!C8&lt;0,X!H$2,X!H$3)</f>
        <v>9.5</v>
      </c>
      <c r="E8" s="2">
        <f t="shared" si="1"/>
        <v>0.2368421053</v>
      </c>
    </row>
    <row r="9">
      <c r="A9" s="2">
        <f>if(X!A9&lt;0,X!F$2,X!F$3)</f>
        <v>1.5</v>
      </c>
      <c r="B9" s="2">
        <f>if(X!B9&lt;0,X!G$2,X!G$3)</f>
        <v>45</v>
      </c>
      <c r="C9" s="2">
        <f>if(X!C9&lt;0,X!H$2,X!H$3)</f>
        <v>10</v>
      </c>
      <c r="E9" s="2">
        <f t="shared" si="1"/>
        <v>0.225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2">
        <f t="shared" ref="A2:A9" si="1">abs(B2)</f>
        <v>1</v>
      </c>
      <c r="B2" s="2">
        <f>X!A2</f>
        <v>-1</v>
      </c>
      <c r="C2" s="2">
        <f>X!B2</f>
        <v>-1</v>
      </c>
      <c r="D2" s="2">
        <f>X!C2</f>
        <v>-1</v>
      </c>
      <c r="E2" s="2">
        <f t="shared" ref="E2:E9" si="2">B2*C2</f>
        <v>1</v>
      </c>
    </row>
    <row r="3">
      <c r="A3" s="2">
        <f t="shared" si="1"/>
        <v>1</v>
      </c>
      <c r="B3" s="2">
        <f>X!A3</f>
        <v>-1</v>
      </c>
      <c r="C3" s="2">
        <f>X!B3</f>
        <v>-1</v>
      </c>
      <c r="D3" s="2">
        <f>X!C3</f>
        <v>1</v>
      </c>
      <c r="E3" s="2">
        <f t="shared" si="2"/>
        <v>1</v>
      </c>
    </row>
    <row r="4">
      <c r="A4" s="2">
        <f t="shared" si="1"/>
        <v>1</v>
      </c>
      <c r="B4" s="2">
        <f>X!A4</f>
        <v>-1</v>
      </c>
      <c r="C4" s="2">
        <f>X!B4</f>
        <v>1</v>
      </c>
      <c r="D4" s="2">
        <f>X!C4</f>
        <v>-1</v>
      </c>
      <c r="E4" s="2">
        <f t="shared" si="2"/>
        <v>-1</v>
      </c>
    </row>
    <row r="5">
      <c r="A5" s="2">
        <f t="shared" si="1"/>
        <v>1</v>
      </c>
      <c r="B5" s="2">
        <f>X!A5</f>
        <v>-1</v>
      </c>
      <c r="C5" s="2">
        <f>X!B5</f>
        <v>1</v>
      </c>
      <c r="D5" s="2">
        <f>X!C5</f>
        <v>1</v>
      </c>
      <c r="E5" s="2">
        <f t="shared" si="2"/>
        <v>-1</v>
      </c>
    </row>
    <row r="6">
      <c r="A6" s="2">
        <f t="shared" si="1"/>
        <v>1</v>
      </c>
      <c r="B6" s="2">
        <f>X!A6</f>
        <v>1</v>
      </c>
      <c r="C6" s="2">
        <f>X!B6</f>
        <v>-1</v>
      </c>
      <c r="D6" s="2">
        <f>X!C6</f>
        <v>-1</v>
      </c>
      <c r="E6" s="2">
        <f t="shared" si="2"/>
        <v>-1</v>
      </c>
    </row>
    <row r="7">
      <c r="A7" s="2">
        <f t="shared" si="1"/>
        <v>1</v>
      </c>
      <c r="B7" s="2">
        <f>X!A7</f>
        <v>1</v>
      </c>
      <c r="C7" s="2">
        <f>X!B7</f>
        <v>-1</v>
      </c>
      <c r="D7" s="2">
        <f>X!C7</f>
        <v>1</v>
      </c>
      <c r="E7" s="2">
        <f t="shared" si="2"/>
        <v>-1</v>
      </c>
    </row>
    <row r="8">
      <c r="A8" s="2">
        <f t="shared" si="1"/>
        <v>1</v>
      </c>
      <c r="B8" s="2">
        <f>X!A8</f>
        <v>1</v>
      </c>
      <c r="C8" s="2">
        <f>X!B8</f>
        <v>1</v>
      </c>
      <c r="D8" s="2">
        <f>X!C8</f>
        <v>-1</v>
      </c>
      <c r="E8" s="2">
        <f t="shared" si="2"/>
        <v>1</v>
      </c>
    </row>
    <row r="9">
      <c r="A9" s="2">
        <f t="shared" si="1"/>
        <v>1</v>
      </c>
      <c r="B9" s="2">
        <f>X!A9</f>
        <v>1</v>
      </c>
      <c r="C9" s="2">
        <f>X!B9</f>
        <v>1</v>
      </c>
      <c r="D9" s="2">
        <f>X!C9</f>
        <v>1</v>
      </c>
      <c r="E9" s="2">
        <f t="shared" si="2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2">
        <f t="array" ref="A2:E2">transpose(mmult(transpose(MatrixModel!A2:E9),Model!E2:E9)/8)</f>
        <v>0.1053761789</v>
      </c>
      <c r="B2" s="2">
        <v>0.08430094312865136</v>
      </c>
      <c r="C2" s="2">
        <v>0.022913294773396327</v>
      </c>
      <c r="D2" s="2">
        <v>-0.0027019533054054926</v>
      </c>
      <c r="E2" s="2">
        <v>0.018330635818717064</v>
      </c>
    </row>
    <row r="4">
      <c r="A4" s="1" t="s">
        <v>16</v>
      </c>
      <c r="B4" s="2">
        <f t="shared" ref="B4:E4" si="1">B2^2</f>
        <v>0.007106649012</v>
      </c>
      <c r="C4" s="2">
        <f t="shared" si="1"/>
        <v>0.0005250190774</v>
      </c>
      <c r="D4" s="2">
        <f t="shared" si="1"/>
        <v>0.000007300551665</v>
      </c>
      <c r="E4" s="2">
        <f t="shared" si="1"/>
        <v>0.0003360122095</v>
      </c>
    </row>
    <row r="5">
      <c r="A5" s="1" t="s">
        <v>17</v>
      </c>
      <c r="B5" s="2">
        <f>sum(B4:E4)</f>
        <v>0.007974980851</v>
      </c>
    </row>
    <row r="6">
      <c r="A6" s="1" t="s">
        <v>18</v>
      </c>
      <c r="B6" s="2">
        <f>B5/Model!H2</f>
        <v>0.9993435708</v>
      </c>
    </row>
    <row r="8">
      <c r="A8" s="1" t="s">
        <v>19</v>
      </c>
      <c r="B8" s="3">
        <f>B4/Model!$H$2</f>
        <v>0.8905330475</v>
      </c>
      <c r="C8" s="3">
        <f>C4/Model!$H$2</f>
        <v>0.06579005635</v>
      </c>
      <c r="D8" s="4">
        <f>D4/Model!$H$2</f>
        <v>0.0009148309577</v>
      </c>
      <c r="E8" s="3">
        <f>E4/Model!$H$2</f>
        <v>0.04210563606</v>
      </c>
    </row>
    <row r="10">
      <c r="A10" s="1" t="s">
        <v>20</v>
      </c>
      <c r="B10" s="4">
        <f>B8+E8</f>
        <v>0.9326386835</v>
      </c>
    </row>
    <row r="11">
      <c r="A11" s="1" t="s">
        <v>21</v>
      </c>
      <c r="B11" s="4">
        <f>C8+E8</f>
        <v>0.1078956924</v>
      </c>
    </row>
    <row r="12">
      <c r="A12" s="1" t="s">
        <v>22</v>
      </c>
      <c r="B12" s="4">
        <f>D8</f>
        <v>0.0009148309577</v>
      </c>
    </row>
  </sheetData>
  <drawing r:id="rId1"/>
</worksheet>
</file>